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ython\"/>
    </mc:Choice>
  </mc:AlternateContent>
  <xr:revisionPtr revIDLastSave="0" documentId="13_ncr:1_{1731C07D-4E76-48A5-BA72-41055D660468}" xr6:coauthVersionLast="43" xr6:coauthVersionMax="43" xr10:uidLastSave="{00000000-0000-0000-0000-000000000000}"/>
  <bookViews>
    <workbookView xWindow="-108" yWindow="-108" windowWidth="23256" windowHeight="12576" activeTab="9" xr2:uid="{E6A11FD5-3E04-9549-80D9-6C7562E6CC06}"/>
  </bookViews>
  <sheets>
    <sheet name="unit" sheetId="9" r:id="rId1"/>
    <sheet name="contact" sheetId="8" r:id="rId2"/>
    <sheet name="country" sheetId="6" r:id="rId3"/>
    <sheet name="comp_type" sheetId="7" r:id="rId4"/>
    <sheet name="company" sheetId="2" r:id="rId5"/>
    <sheet name="category" sheetId="3" r:id="rId6"/>
    <sheet name="family" sheetId="4" r:id="rId7"/>
    <sheet name="interface" sheetId="10" r:id="rId8"/>
    <sheet name="control_interface" sheetId="12" r:id="rId9"/>
    <sheet name="goods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 s="1"/>
</calcChain>
</file>

<file path=xl/sharedStrings.xml><?xml version="1.0" encoding="utf-8"?>
<sst xmlns="http://schemas.openxmlformats.org/spreadsheetml/2006/main" count="908" uniqueCount="225">
  <si>
    <t>тип</t>
  </si>
  <si>
    <t>Наименование</t>
  </si>
  <si>
    <t>Параметры</t>
  </si>
  <si>
    <t>description</t>
  </si>
  <si>
    <t>name</t>
  </si>
  <si>
    <t>part_no</t>
  </si>
  <si>
    <t>purchase_price_wo_vat</t>
  </si>
  <si>
    <t>purchase_price_w_vat</t>
  </si>
  <si>
    <t>producer</t>
  </si>
  <si>
    <t>suplayer</t>
  </si>
  <si>
    <t>type</t>
  </si>
  <si>
    <t>delivery_time</t>
  </si>
  <si>
    <t>category</t>
  </si>
  <si>
    <t>subcategory1</t>
  </si>
  <si>
    <t>subcategory2</t>
  </si>
  <si>
    <t>picture</t>
  </si>
  <si>
    <t>subcategory3</t>
  </si>
  <si>
    <t>schematic</t>
  </si>
  <si>
    <t>installation_time</t>
  </si>
  <si>
    <t>programming_time</t>
  </si>
  <si>
    <t>Пример</t>
  </si>
  <si>
    <t>LP-FX06P00-000C</t>
  </si>
  <si>
    <t>Контроллер FX06. 6 AI, 5DI, 6 relay DO, 2 0-10V AO</t>
  </si>
  <si>
    <t>Контроллер FX06</t>
  </si>
  <si>
    <t>discount_standart</t>
  </si>
  <si>
    <t>discount_max</t>
  </si>
  <si>
    <t>multiplayer_standart</t>
  </si>
  <si>
    <t>multiplayer_min</t>
  </si>
  <si>
    <t>JCI</t>
  </si>
  <si>
    <t>Автоматика</t>
  </si>
  <si>
    <t>Facility Explorer</t>
  </si>
  <si>
    <t>comission_time</t>
  </si>
  <si>
    <t>origin</t>
  </si>
  <si>
    <t>local/import</t>
  </si>
  <si>
    <t>rating</t>
  </si>
  <si>
    <t>contact</t>
  </si>
  <si>
    <t>Johnson Controls</t>
  </si>
  <si>
    <t>* ключ</t>
  </si>
  <si>
    <t>Производитель</t>
  </si>
  <si>
    <t>Джонсон Контролс</t>
  </si>
  <si>
    <t>Американская компания</t>
  </si>
  <si>
    <t>family_name</t>
  </si>
  <si>
    <t>unit</t>
  </si>
  <si>
    <t>accsessory</t>
  </si>
  <si>
    <t>Modbus, 2xModbus, 'Modbus, BACnet'</t>
  </si>
  <si>
    <t>family</t>
  </si>
  <si>
    <t>subfamily</t>
  </si>
  <si>
    <t>plc_DI</t>
  </si>
  <si>
    <t>plc_DO</t>
  </si>
  <si>
    <t>plc_AI</t>
  </si>
  <si>
    <t>plc_AO</t>
  </si>
  <si>
    <t>plc_UI</t>
  </si>
  <si>
    <t>plc_UO</t>
  </si>
  <si>
    <t>plc_io_qty</t>
  </si>
  <si>
    <t>plc_interface</t>
  </si>
  <si>
    <t>voltage</t>
  </si>
  <si>
    <t>current</t>
  </si>
  <si>
    <t>power</t>
  </si>
  <si>
    <t>control_interface</t>
  </si>
  <si>
    <t>0-10В, 4-20ма</t>
  </si>
  <si>
    <t>0-10 бар</t>
  </si>
  <si>
    <t>work_temp_low</t>
  </si>
  <si>
    <t>work_temp_high</t>
  </si>
  <si>
    <t>port_qty</t>
  </si>
  <si>
    <t>Имя</t>
  </si>
  <si>
    <t>Заводской номер</t>
  </si>
  <si>
    <t>Название</t>
  </si>
  <si>
    <t>Описание</t>
  </si>
  <si>
    <t>Единица измерения</t>
  </si>
  <si>
    <t>шт, м</t>
  </si>
  <si>
    <t>Закупочная цена, без НДС</t>
  </si>
  <si>
    <t>Закупочная цена, с НДС</t>
  </si>
  <si>
    <t>Скидка стандартная</t>
  </si>
  <si>
    <t>Скидка максимальная</t>
  </si>
  <si>
    <t>Наценка стандартная</t>
  </si>
  <si>
    <t>Наценка минимальная</t>
  </si>
  <si>
    <t>profit_standart</t>
  </si>
  <si>
    <t>profit_min</t>
  </si>
  <si>
    <t>Розница, без НДС</t>
  </si>
  <si>
    <t>Розница, с НДС</t>
  </si>
  <si>
    <t>rrp_wo_vat</t>
  </si>
  <si>
    <t>rrp_price_w_vat</t>
  </si>
  <si>
    <t>profit_rrp</t>
  </si>
  <si>
    <t>Прибыль от розницы</t>
  </si>
  <si>
    <t>Прибыль при стандартной скидке</t>
  </si>
  <si>
    <t>Прибыль при максимальной скидке</t>
  </si>
  <si>
    <t>Поставщик</t>
  </si>
  <si>
    <t>Категория</t>
  </si>
  <si>
    <t>Подкатегория 1</t>
  </si>
  <si>
    <t>Подкатегория 2</t>
  </si>
  <si>
    <t>Подкатегория 3</t>
  </si>
  <si>
    <t>Семейство</t>
  </si>
  <si>
    <t>Подсемейство</t>
  </si>
  <si>
    <t>Срок поставки</t>
  </si>
  <si>
    <t>Изображение</t>
  </si>
  <si>
    <t>Схема</t>
  </si>
  <si>
    <t>svg</t>
  </si>
  <si>
    <t>Время на монтаж</t>
  </si>
  <si>
    <t>Время на программирование</t>
  </si>
  <si>
    <t>Время на пуско - наладку</t>
  </si>
  <si>
    <t>Количество цифровых входов</t>
  </si>
  <si>
    <t>Количество цифровых выходов</t>
  </si>
  <si>
    <t>Количество аналоговых входов</t>
  </si>
  <si>
    <t>Количество аналоговых выходов</t>
  </si>
  <si>
    <t>Количество универсальных входов</t>
  </si>
  <si>
    <t>Количество универсальных выходов</t>
  </si>
  <si>
    <t>Количество входов/выходов</t>
  </si>
  <si>
    <t>Наличие интерфейсов</t>
  </si>
  <si>
    <t>Акссесуар или нет</t>
  </si>
  <si>
    <t>Напряжение</t>
  </si>
  <si>
    <t>Мощность</t>
  </si>
  <si>
    <t>Ток</t>
  </si>
  <si>
    <t>Рабочая температура нижняя</t>
  </si>
  <si>
    <t>Рабочая температура верхняя</t>
  </si>
  <si>
    <t>Управляющий интерфейс</t>
  </si>
  <si>
    <t>Количество портов</t>
  </si>
  <si>
    <t>Например для маршрутизатора</t>
  </si>
  <si>
    <t>in_stock</t>
  </si>
  <si>
    <t>Количество на складе</t>
  </si>
  <si>
    <t>in_box</t>
  </si>
  <si>
    <t>Автоматика, Контроль доступа, ВРФ, Видеонаблюдение, IT, Монтажные матералы, Работы, Шкафы</t>
  </si>
  <si>
    <t>Контроллер, датчик, Кабель, Лоток, Шкаф управления, Реализация системы диспетчеризации</t>
  </si>
  <si>
    <t>Датчик температуры, модуль ввода/вывода, Кабель для RS485, Формирование базы данных</t>
  </si>
  <si>
    <t>Датчик температуры накладной</t>
  </si>
  <si>
    <t>unique</t>
  </si>
  <si>
    <t>primary_key</t>
  </si>
  <si>
    <t>db_index</t>
  </si>
  <si>
    <t>max_length</t>
  </si>
  <si>
    <t>blank</t>
  </si>
  <si>
    <t>null</t>
  </si>
  <si>
    <t>on_delete</t>
  </si>
  <si>
    <t>choices</t>
  </si>
  <si>
    <t>default</t>
  </si>
  <si>
    <t>related_name</t>
  </si>
  <si>
    <t>CharField</t>
  </si>
  <si>
    <t>TextField</t>
  </si>
  <si>
    <t>ForeignKey</t>
  </si>
  <si>
    <t>Файл с документацией</t>
  </si>
  <si>
    <t>doc_file</t>
  </si>
  <si>
    <t>FloatField</t>
  </si>
  <si>
    <t>TimeField</t>
  </si>
  <si>
    <t>FileField</t>
  </si>
  <si>
    <t>ImageField</t>
  </si>
  <si>
    <t>IntegerField</t>
  </si>
  <si>
    <t>BooleanField</t>
  </si>
  <si>
    <t>main_table</t>
  </si>
  <si>
    <t>models.SET_NULL</t>
  </si>
  <si>
    <t>False</t>
  </si>
  <si>
    <t>+</t>
  </si>
  <si>
    <t>True</t>
  </si>
  <si>
    <t>Наименование компании</t>
  </si>
  <si>
    <t>Наименование английское</t>
  </si>
  <si>
    <t>Тип компании</t>
  </si>
  <si>
    <t>comp_type</t>
  </si>
  <si>
    <t>Страна производства</t>
  </si>
  <si>
    <t>Страна происхождения</t>
  </si>
  <si>
    <t>country</t>
  </si>
  <si>
    <t>Рейтинг</t>
  </si>
  <si>
    <t>Контакт</t>
  </si>
  <si>
    <t>local</t>
  </si>
  <si>
    <t>Локальное или нет</t>
  </si>
  <si>
    <t>Уровень категории</t>
  </si>
  <si>
    <t>company</t>
  </si>
  <si>
    <t>interface</t>
  </si>
  <si>
    <t>qty</t>
  </si>
  <si>
    <t>models.SET_DEFAULT</t>
  </si>
  <si>
    <t>no</t>
  </si>
  <si>
    <t>AutoField</t>
  </si>
  <si>
    <t>Номер</t>
  </si>
  <si>
    <t>level</t>
  </si>
  <si>
    <t>name_eng</t>
  </si>
  <si>
    <t>production</t>
  </si>
  <si>
    <t>Уровень подсемейства</t>
  </si>
  <si>
    <t>first_name</t>
  </si>
  <si>
    <t>third_name</t>
  </si>
  <si>
    <t>position</t>
  </si>
  <si>
    <t>email</t>
  </si>
  <si>
    <t>site</t>
  </si>
  <si>
    <t>phone_mobile</t>
  </si>
  <si>
    <t>phone_company</t>
  </si>
  <si>
    <t>Фамилия</t>
  </si>
  <si>
    <t>Отчество</t>
  </si>
  <si>
    <t>Должность</t>
  </si>
  <si>
    <t>EmailField</t>
  </si>
  <si>
    <t>URLField</t>
  </si>
  <si>
    <t>Сайт</t>
  </si>
  <si>
    <t>Телефон мобильный</t>
  </si>
  <si>
    <t>Телефон рабочий</t>
  </si>
  <si>
    <t>Единицы измерения</t>
  </si>
  <si>
    <t>Modbus RTU</t>
  </si>
  <si>
    <t>Количество</t>
  </si>
  <si>
    <t>Монтаж в шкаф или нет</t>
  </si>
  <si>
    <t>name1</t>
  </si>
  <si>
    <t>qty1</t>
  </si>
  <si>
    <t>name2</t>
  </si>
  <si>
    <t>qty2</t>
  </si>
  <si>
    <t>name3</t>
  </si>
  <si>
    <t>qty3</t>
  </si>
  <si>
    <t>name4</t>
  </si>
  <si>
    <t>qty4</t>
  </si>
  <si>
    <t>name5</t>
  </si>
  <si>
    <t>qty5</t>
  </si>
  <si>
    <t>name6</t>
  </si>
  <si>
    <t>qty6</t>
  </si>
  <si>
    <t>name7</t>
  </si>
  <si>
    <t>qty7</t>
  </si>
  <si>
    <t>name8</t>
  </si>
  <si>
    <t>qty8</t>
  </si>
  <si>
    <t>name9</t>
  </si>
  <si>
    <t>qty9</t>
  </si>
  <si>
    <t>name10</t>
  </si>
  <si>
    <t>qty10</t>
  </si>
  <si>
    <t>phisyc1</t>
  </si>
  <si>
    <t>4-20 мА</t>
  </si>
  <si>
    <t>phisyc2</t>
  </si>
  <si>
    <t>phisyc3</t>
  </si>
  <si>
    <t>phisyc4</t>
  </si>
  <si>
    <t>phisyc5</t>
  </si>
  <si>
    <t>phisyc6</t>
  </si>
  <si>
    <t>phisyc7</t>
  </si>
  <si>
    <t>phisyc8</t>
  </si>
  <si>
    <t>phisyc9</t>
  </si>
  <si>
    <t>phisyc10</t>
  </si>
  <si>
    <t>good_category</t>
  </si>
  <si>
    <t>good_family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</si>
</sst>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7037-3633-4B00-B7ED-509898FF1B41}">
  <dimension ref="A1:N5"/>
  <sheetViews>
    <sheetView zoomScaleNormal="100" workbookViewId="0">
      <selection activeCell="D13" sqref="D13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5" max="15" width="44.19921875" bestFit="1" customWidth="1"/>
  </cols>
  <sheetData>
    <row r="1" spans="1:14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</row>
    <row r="2" spans="1:14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</row>
    <row r="3" spans="1:14" x14ac:dyDescent="0.3">
      <c r="A3" t="s">
        <v>4</v>
      </c>
      <c r="B3" t="s">
        <v>134</v>
      </c>
      <c r="D3" t="s">
        <v>66</v>
      </c>
      <c r="G3" t="s">
        <v>149</v>
      </c>
      <c r="H3">
        <v>100</v>
      </c>
      <c r="I3" t="s">
        <v>149</v>
      </c>
      <c r="J3" t="s">
        <v>149</v>
      </c>
    </row>
    <row r="4" spans="1:14" x14ac:dyDescent="0.3">
      <c r="A4" t="s">
        <v>169</v>
      </c>
      <c r="B4" t="s">
        <v>134</v>
      </c>
      <c r="D4" t="s">
        <v>188</v>
      </c>
      <c r="G4" t="s">
        <v>149</v>
      </c>
      <c r="H4">
        <v>100</v>
      </c>
    </row>
    <row r="5" spans="1:14" x14ac:dyDescent="0.3">
      <c r="A5" t="s">
        <v>3</v>
      </c>
      <c r="B5" t="s">
        <v>135</v>
      </c>
      <c r="D5" t="s">
        <v>67</v>
      </c>
      <c r="I5" t="s">
        <v>149</v>
      </c>
      <c r="J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5834-12B8-474B-8C99-F8E2B51E7EF2}">
  <dimension ref="A1:N11"/>
  <sheetViews>
    <sheetView workbookViewId="0">
      <selection activeCell="D15" sqref="D15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15.69921875" bestFit="1" customWidth="1"/>
    <col min="12" max="12" width="7.19921875" bestFit="1" customWidth="1"/>
    <col min="13" max="13" width="6.8984375" bestFit="1" customWidth="1"/>
    <col min="14" max="14" width="12.59765625" bestFit="1" customWidth="1"/>
  </cols>
  <sheetData>
    <row r="1" spans="1:14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</row>
    <row r="2" spans="1:14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</row>
    <row r="3" spans="1:14" x14ac:dyDescent="0.3">
      <c r="A3" t="s">
        <v>173</v>
      </c>
      <c r="B3" t="s">
        <v>134</v>
      </c>
      <c r="D3" t="s">
        <v>64</v>
      </c>
      <c r="E3" t="s">
        <v>149</v>
      </c>
      <c r="H3">
        <v>100</v>
      </c>
    </row>
    <row r="4" spans="1:14" x14ac:dyDescent="0.3">
      <c r="A4" t="s">
        <v>41</v>
      </c>
      <c r="B4" t="s">
        <v>134</v>
      </c>
      <c r="D4" t="s">
        <v>180</v>
      </c>
      <c r="E4" t="s">
        <v>149</v>
      </c>
      <c r="G4" t="s">
        <v>149</v>
      </c>
      <c r="H4">
        <v>100</v>
      </c>
    </row>
    <row r="5" spans="1:14" x14ac:dyDescent="0.3">
      <c r="A5" t="s">
        <v>174</v>
      </c>
      <c r="B5" t="s">
        <v>134</v>
      </c>
      <c r="D5" t="s">
        <v>181</v>
      </c>
      <c r="H5">
        <v>100</v>
      </c>
      <c r="I5" t="s">
        <v>149</v>
      </c>
      <c r="J5" t="s">
        <v>149</v>
      </c>
    </row>
    <row r="6" spans="1:14" x14ac:dyDescent="0.3">
      <c r="A6" t="s">
        <v>3</v>
      </c>
      <c r="B6" t="s">
        <v>135</v>
      </c>
      <c r="D6" t="s">
        <v>67</v>
      </c>
      <c r="I6" t="s">
        <v>149</v>
      </c>
      <c r="J6" t="s">
        <v>149</v>
      </c>
    </row>
    <row r="7" spans="1:14" x14ac:dyDescent="0.3">
      <c r="A7" t="s">
        <v>175</v>
      </c>
      <c r="B7" t="s">
        <v>134</v>
      </c>
      <c r="D7" t="s">
        <v>182</v>
      </c>
      <c r="H7">
        <v>100</v>
      </c>
      <c r="I7" t="s">
        <v>149</v>
      </c>
      <c r="J7" t="s">
        <v>149</v>
      </c>
    </row>
    <row r="8" spans="1:14" x14ac:dyDescent="0.3">
      <c r="A8" t="s">
        <v>176</v>
      </c>
      <c r="B8" t="s">
        <v>183</v>
      </c>
      <c r="D8" t="s">
        <v>176</v>
      </c>
      <c r="G8" t="s">
        <v>149</v>
      </c>
      <c r="I8" t="s">
        <v>149</v>
      </c>
      <c r="J8" t="s">
        <v>149</v>
      </c>
    </row>
    <row r="9" spans="1:14" x14ac:dyDescent="0.3">
      <c r="A9" t="s">
        <v>177</v>
      </c>
      <c r="B9" t="s">
        <v>184</v>
      </c>
      <c r="D9" t="s">
        <v>185</v>
      </c>
      <c r="I9" t="s">
        <v>149</v>
      </c>
      <c r="J9" t="s">
        <v>149</v>
      </c>
    </row>
    <row r="10" spans="1:14" x14ac:dyDescent="0.3">
      <c r="A10" t="s">
        <v>178</v>
      </c>
      <c r="B10" t="s">
        <v>134</v>
      </c>
      <c r="D10" t="s">
        <v>186</v>
      </c>
      <c r="H10">
        <v>100</v>
      </c>
      <c r="I10" t="s">
        <v>149</v>
      </c>
      <c r="J10" t="s">
        <v>149</v>
      </c>
    </row>
    <row r="11" spans="1:14" x14ac:dyDescent="0.3">
      <c r="A11" t="s">
        <v>179</v>
      </c>
      <c r="B11" t="s">
        <v>134</v>
      </c>
      <c r="D11" t="s">
        <v>187</v>
      </c>
      <c r="H11">
        <v>100</v>
      </c>
      <c r="I11" t="s">
        <v>149</v>
      </c>
      <c r="J11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8035-2FF2-4AA5-B45D-D65CB656B1A0}">
  <dimension ref="A1:P4"/>
  <sheetViews>
    <sheetView workbookViewId="0">
      <selection activeCell="G20" sqref="G20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5" max="15" width="11.69921875" customWidth="1"/>
    <col min="17" max="17" width="44.19921875" bestFit="1" customWidth="1"/>
  </cols>
  <sheetData>
    <row r="1" spans="1:16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</v>
      </c>
      <c r="P1" s="1" t="s">
        <v>20</v>
      </c>
    </row>
    <row r="2" spans="1:16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  <c r="O2" t="s">
        <v>37</v>
      </c>
    </row>
    <row r="3" spans="1:16" x14ac:dyDescent="0.3">
      <c r="A3" t="s">
        <v>4</v>
      </c>
      <c r="B3" t="s">
        <v>134</v>
      </c>
      <c r="D3" t="s">
        <v>66</v>
      </c>
      <c r="E3" t="s">
        <v>149</v>
      </c>
      <c r="G3" t="s">
        <v>149</v>
      </c>
      <c r="H3">
        <v>100</v>
      </c>
      <c r="O3" t="s">
        <v>37</v>
      </c>
      <c r="P3" t="s">
        <v>30</v>
      </c>
    </row>
    <row r="4" spans="1:16" x14ac:dyDescent="0.3">
      <c r="A4" t="s">
        <v>3</v>
      </c>
      <c r="B4" t="s">
        <v>135</v>
      </c>
      <c r="D4" t="s">
        <v>67</v>
      </c>
      <c r="I4" t="s">
        <v>149</v>
      </c>
      <c r="J4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A698-19CD-4520-A9B7-833F8C10E30B}">
  <dimension ref="A1:P4"/>
  <sheetViews>
    <sheetView topLeftCell="B1" workbookViewId="0">
      <selection activeCell="D23" sqref="D23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5" max="15" width="11.69921875" customWidth="1"/>
    <col min="17" max="17" width="44.19921875" bestFit="1" customWidth="1"/>
  </cols>
  <sheetData>
    <row r="1" spans="1:16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</v>
      </c>
      <c r="P1" s="1" t="s">
        <v>20</v>
      </c>
    </row>
    <row r="2" spans="1:16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  <c r="O2" t="s">
        <v>37</v>
      </c>
    </row>
    <row r="3" spans="1:16" x14ac:dyDescent="0.3">
      <c r="A3" t="s">
        <v>4</v>
      </c>
      <c r="B3" t="s">
        <v>134</v>
      </c>
      <c r="D3" t="s">
        <v>66</v>
      </c>
      <c r="E3" t="s">
        <v>149</v>
      </c>
      <c r="G3" t="s">
        <v>149</v>
      </c>
      <c r="H3">
        <v>100</v>
      </c>
      <c r="O3" t="s">
        <v>37</v>
      </c>
      <c r="P3" t="s">
        <v>30</v>
      </c>
    </row>
    <row r="4" spans="1:16" x14ac:dyDescent="0.3">
      <c r="A4" t="s">
        <v>3</v>
      </c>
      <c r="B4" t="s">
        <v>135</v>
      </c>
      <c r="D4" t="s">
        <v>67</v>
      </c>
      <c r="I4" t="s">
        <v>149</v>
      </c>
      <c r="J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373C-61C9-BC4E-A5A2-81F3A64F2573}">
  <dimension ref="A1:P11"/>
  <sheetViews>
    <sheetView workbookViewId="0">
      <selection activeCell="D17" sqref="D17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15.69921875" bestFit="1" customWidth="1"/>
    <col min="12" max="12" width="7.19921875" bestFit="1" customWidth="1"/>
    <col min="13" max="13" width="6.8984375" bestFit="1" customWidth="1"/>
    <col min="14" max="14" width="12.59765625" bestFit="1" customWidth="1"/>
    <col min="16" max="16" width="44.19921875" bestFit="1" customWidth="1"/>
  </cols>
  <sheetData>
    <row r="1" spans="1:16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</v>
      </c>
      <c r="P1" s="1" t="s">
        <v>20</v>
      </c>
    </row>
    <row r="2" spans="1:16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  <c r="O2" t="s">
        <v>37</v>
      </c>
    </row>
    <row r="3" spans="1:16" x14ac:dyDescent="0.3">
      <c r="A3" t="s">
        <v>4</v>
      </c>
      <c r="B3" t="s">
        <v>134</v>
      </c>
      <c r="D3" t="s">
        <v>150</v>
      </c>
      <c r="E3" t="s">
        <v>149</v>
      </c>
      <c r="G3" t="s">
        <v>149</v>
      </c>
      <c r="H3">
        <v>100</v>
      </c>
      <c r="P3" t="s">
        <v>36</v>
      </c>
    </row>
    <row r="4" spans="1:16" x14ac:dyDescent="0.3">
      <c r="A4" t="s">
        <v>170</v>
      </c>
      <c r="B4" t="s">
        <v>134</v>
      </c>
      <c r="D4" t="s">
        <v>151</v>
      </c>
      <c r="E4" t="s">
        <v>149</v>
      </c>
      <c r="G4" t="s">
        <v>149</v>
      </c>
      <c r="H4">
        <v>100</v>
      </c>
      <c r="I4" t="s">
        <v>149</v>
      </c>
      <c r="J4" t="s">
        <v>149</v>
      </c>
      <c r="P4" t="s">
        <v>39</v>
      </c>
    </row>
    <row r="5" spans="1:16" x14ac:dyDescent="0.3">
      <c r="A5" t="s">
        <v>10</v>
      </c>
      <c r="B5" t="s">
        <v>136</v>
      </c>
      <c r="C5" t="s">
        <v>153</v>
      </c>
      <c r="D5" t="s">
        <v>152</v>
      </c>
      <c r="K5" t="s">
        <v>165</v>
      </c>
      <c r="M5">
        <v>0</v>
      </c>
      <c r="P5" t="s">
        <v>38</v>
      </c>
    </row>
    <row r="6" spans="1:16" x14ac:dyDescent="0.3">
      <c r="A6" t="s">
        <v>3</v>
      </c>
      <c r="B6" t="s">
        <v>135</v>
      </c>
      <c r="D6" t="s">
        <v>67</v>
      </c>
      <c r="I6" t="s">
        <v>149</v>
      </c>
      <c r="J6" t="s">
        <v>149</v>
      </c>
      <c r="P6" t="s">
        <v>40</v>
      </c>
    </row>
    <row r="7" spans="1:16" x14ac:dyDescent="0.3">
      <c r="A7" t="s">
        <v>159</v>
      </c>
      <c r="B7" t="s">
        <v>144</v>
      </c>
      <c r="D7" t="s">
        <v>160</v>
      </c>
      <c r="G7" t="s">
        <v>149</v>
      </c>
      <c r="I7" t="s">
        <v>149</v>
      </c>
      <c r="J7" t="s">
        <v>149</v>
      </c>
      <c r="M7" t="s">
        <v>147</v>
      </c>
      <c r="O7" t="s">
        <v>33</v>
      </c>
    </row>
    <row r="8" spans="1:16" x14ac:dyDescent="0.3">
      <c r="A8" t="s">
        <v>171</v>
      </c>
      <c r="B8" t="s">
        <v>136</v>
      </c>
      <c r="C8" t="s">
        <v>156</v>
      </c>
      <c r="D8" t="s">
        <v>154</v>
      </c>
      <c r="G8" t="s">
        <v>149</v>
      </c>
      <c r="I8" t="s">
        <v>149</v>
      </c>
      <c r="J8" t="s">
        <v>149</v>
      </c>
      <c r="K8" t="s">
        <v>146</v>
      </c>
      <c r="N8" t="s">
        <v>148</v>
      </c>
      <c r="O8" t="s">
        <v>33</v>
      </c>
    </row>
    <row r="9" spans="1:16" x14ac:dyDescent="0.3">
      <c r="A9" t="s">
        <v>32</v>
      </c>
      <c r="B9" t="s">
        <v>136</v>
      </c>
      <c r="C9" t="s">
        <v>156</v>
      </c>
      <c r="D9" t="s">
        <v>155</v>
      </c>
      <c r="G9" t="s">
        <v>149</v>
      </c>
      <c r="I9" t="s">
        <v>149</v>
      </c>
      <c r="J9" t="s">
        <v>149</v>
      </c>
      <c r="K9" t="s">
        <v>146</v>
      </c>
      <c r="N9" t="s">
        <v>148</v>
      </c>
    </row>
    <row r="10" spans="1:16" x14ac:dyDescent="0.3">
      <c r="A10" t="s">
        <v>34</v>
      </c>
      <c r="B10" t="s">
        <v>143</v>
      </c>
      <c r="D10" t="s">
        <v>157</v>
      </c>
      <c r="G10" t="s">
        <v>149</v>
      </c>
      <c r="I10" t="s">
        <v>149</v>
      </c>
      <c r="J10" t="s">
        <v>149</v>
      </c>
    </row>
    <row r="11" spans="1:16" x14ac:dyDescent="0.3">
      <c r="A11" t="s">
        <v>35</v>
      </c>
      <c r="B11" t="s">
        <v>136</v>
      </c>
      <c r="C11" t="s">
        <v>35</v>
      </c>
      <c r="D11" t="s">
        <v>158</v>
      </c>
      <c r="G11" t="s">
        <v>149</v>
      </c>
      <c r="I11" t="s">
        <v>149</v>
      </c>
      <c r="J11" t="s">
        <v>149</v>
      </c>
      <c r="K11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792C-89A4-9C46-B575-077F843F0775}">
  <dimension ref="A1:P5"/>
  <sheetViews>
    <sheetView workbookViewId="0">
      <selection activeCell="E4" sqref="E4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6" max="16" width="44.19921875" bestFit="1" customWidth="1"/>
  </cols>
  <sheetData>
    <row r="1" spans="1:16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</v>
      </c>
      <c r="P1" s="1" t="s">
        <v>20</v>
      </c>
    </row>
    <row r="2" spans="1:16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  <c r="O2" t="s">
        <v>37</v>
      </c>
    </row>
    <row r="3" spans="1:16" x14ac:dyDescent="0.3">
      <c r="A3" t="s">
        <v>4</v>
      </c>
      <c r="B3" t="s">
        <v>134</v>
      </c>
      <c r="D3" t="s">
        <v>66</v>
      </c>
      <c r="E3" t="s">
        <v>149</v>
      </c>
      <c r="G3" t="s">
        <v>149</v>
      </c>
      <c r="H3">
        <v>100</v>
      </c>
      <c r="O3" t="s">
        <v>37</v>
      </c>
      <c r="P3" t="s">
        <v>29</v>
      </c>
    </row>
    <row r="4" spans="1:16" x14ac:dyDescent="0.3">
      <c r="A4" t="s">
        <v>169</v>
      </c>
      <c r="B4" t="s">
        <v>134</v>
      </c>
      <c r="D4" t="s">
        <v>161</v>
      </c>
      <c r="G4" t="s">
        <v>149</v>
      </c>
      <c r="H4">
        <v>100</v>
      </c>
      <c r="P4">
        <v>1</v>
      </c>
    </row>
    <row r="5" spans="1:16" x14ac:dyDescent="0.3">
      <c r="A5" t="s">
        <v>3</v>
      </c>
      <c r="B5" t="s">
        <v>135</v>
      </c>
      <c r="D5" t="s">
        <v>67</v>
      </c>
      <c r="I5" t="s">
        <v>149</v>
      </c>
      <c r="J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7492-A38D-F64A-A860-404F223803DC}">
  <dimension ref="A1:P5"/>
  <sheetViews>
    <sheetView workbookViewId="0">
      <selection activeCell="E4" sqref="E4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5" max="15" width="11.69921875" customWidth="1"/>
    <col min="17" max="17" width="44.19921875" bestFit="1" customWidth="1"/>
  </cols>
  <sheetData>
    <row r="1" spans="1:16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</v>
      </c>
      <c r="P1" s="1" t="s">
        <v>20</v>
      </c>
    </row>
    <row r="2" spans="1:16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  <c r="O2" t="s">
        <v>37</v>
      </c>
    </row>
    <row r="3" spans="1:16" x14ac:dyDescent="0.3">
      <c r="A3" t="s">
        <v>4</v>
      </c>
      <c r="B3" t="s">
        <v>134</v>
      </c>
      <c r="D3" t="s">
        <v>66</v>
      </c>
      <c r="E3" t="s">
        <v>149</v>
      </c>
      <c r="G3" t="s">
        <v>149</v>
      </c>
      <c r="H3">
        <v>100</v>
      </c>
      <c r="O3" t="s">
        <v>37</v>
      </c>
      <c r="P3" t="s">
        <v>30</v>
      </c>
    </row>
    <row r="4" spans="1:16" x14ac:dyDescent="0.3">
      <c r="A4" t="s">
        <v>169</v>
      </c>
      <c r="B4" t="s">
        <v>134</v>
      </c>
      <c r="D4" t="s">
        <v>172</v>
      </c>
      <c r="G4" t="s">
        <v>149</v>
      </c>
      <c r="H4">
        <v>100</v>
      </c>
      <c r="P4">
        <v>1</v>
      </c>
    </row>
    <row r="5" spans="1:16" x14ac:dyDescent="0.3">
      <c r="A5" t="s">
        <v>3</v>
      </c>
      <c r="B5" t="s">
        <v>135</v>
      </c>
      <c r="D5" t="s">
        <v>67</v>
      </c>
      <c r="I5" t="s">
        <v>149</v>
      </c>
      <c r="J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90B1-DDB5-486B-B367-DC43D7AD81A4}">
  <dimension ref="A1:O23"/>
  <sheetViews>
    <sheetView workbookViewId="0">
      <selection activeCell="C29" sqref="C29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6" max="16" width="44.19921875" bestFit="1" customWidth="1"/>
  </cols>
  <sheetData>
    <row r="1" spans="1:15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20</v>
      </c>
    </row>
    <row r="2" spans="1:15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</row>
    <row r="3" spans="1:15" x14ac:dyDescent="0.3">
      <c r="A3" t="s">
        <v>164</v>
      </c>
      <c r="B3" t="s">
        <v>143</v>
      </c>
      <c r="D3" t="s">
        <v>190</v>
      </c>
      <c r="M3">
        <v>1</v>
      </c>
    </row>
    <row r="4" spans="1:15" x14ac:dyDescent="0.3">
      <c r="A4" t="s">
        <v>192</v>
      </c>
      <c r="B4" t="s">
        <v>134</v>
      </c>
      <c r="D4" t="s">
        <v>66</v>
      </c>
      <c r="G4" t="s">
        <v>149</v>
      </c>
      <c r="H4">
        <v>100</v>
      </c>
      <c r="O4" t="s">
        <v>189</v>
      </c>
    </row>
    <row r="5" spans="1:15" x14ac:dyDescent="0.3">
      <c r="A5" t="s">
        <v>193</v>
      </c>
      <c r="B5" t="s">
        <v>143</v>
      </c>
      <c r="D5" t="s">
        <v>190</v>
      </c>
      <c r="M5">
        <v>1</v>
      </c>
    </row>
    <row r="6" spans="1:15" x14ac:dyDescent="0.3">
      <c r="A6" t="s">
        <v>194</v>
      </c>
      <c r="B6" t="s">
        <v>134</v>
      </c>
      <c r="D6" t="s">
        <v>66</v>
      </c>
      <c r="G6" t="s">
        <v>149</v>
      </c>
      <c r="H6">
        <v>100</v>
      </c>
      <c r="O6" t="s">
        <v>189</v>
      </c>
    </row>
    <row r="7" spans="1:15" x14ac:dyDescent="0.3">
      <c r="A7" t="s">
        <v>195</v>
      </c>
      <c r="B7" t="s">
        <v>143</v>
      </c>
      <c r="D7" t="s">
        <v>190</v>
      </c>
      <c r="M7">
        <v>1</v>
      </c>
    </row>
    <row r="8" spans="1:15" x14ac:dyDescent="0.3">
      <c r="A8" t="s">
        <v>196</v>
      </c>
      <c r="B8" t="s">
        <v>134</v>
      </c>
      <c r="D8" t="s">
        <v>66</v>
      </c>
      <c r="G8" t="s">
        <v>149</v>
      </c>
      <c r="H8">
        <v>100</v>
      </c>
      <c r="O8" t="s">
        <v>189</v>
      </c>
    </row>
    <row r="9" spans="1:15" x14ac:dyDescent="0.3">
      <c r="A9" t="s">
        <v>197</v>
      </c>
      <c r="B9" t="s">
        <v>143</v>
      </c>
      <c r="D9" t="s">
        <v>190</v>
      </c>
      <c r="M9">
        <v>1</v>
      </c>
    </row>
    <row r="10" spans="1:15" x14ac:dyDescent="0.3">
      <c r="A10" t="s">
        <v>198</v>
      </c>
      <c r="B10" t="s">
        <v>134</v>
      </c>
      <c r="D10" t="s">
        <v>66</v>
      </c>
      <c r="G10" t="s">
        <v>149</v>
      </c>
      <c r="H10">
        <v>100</v>
      </c>
      <c r="O10" t="s">
        <v>189</v>
      </c>
    </row>
    <row r="11" spans="1:15" x14ac:dyDescent="0.3">
      <c r="A11" t="s">
        <v>199</v>
      </c>
      <c r="B11" t="s">
        <v>143</v>
      </c>
      <c r="D11" t="s">
        <v>190</v>
      </c>
      <c r="M11">
        <v>1</v>
      </c>
    </row>
    <row r="12" spans="1:15" x14ac:dyDescent="0.3">
      <c r="A12" t="s">
        <v>200</v>
      </c>
      <c r="B12" t="s">
        <v>134</v>
      </c>
      <c r="D12" t="s">
        <v>66</v>
      </c>
      <c r="G12" t="s">
        <v>149</v>
      </c>
      <c r="H12">
        <v>100</v>
      </c>
      <c r="O12" t="s">
        <v>189</v>
      </c>
    </row>
    <row r="13" spans="1:15" x14ac:dyDescent="0.3">
      <c r="A13" t="s">
        <v>201</v>
      </c>
      <c r="B13" t="s">
        <v>143</v>
      </c>
      <c r="D13" t="s">
        <v>190</v>
      </c>
      <c r="M13">
        <v>1</v>
      </c>
    </row>
    <row r="14" spans="1:15" x14ac:dyDescent="0.3">
      <c r="A14" t="s">
        <v>202</v>
      </c>
      <c r="B14" t="s">
        <v>134</v>
      </c>
      <c r="D14" t="s">
        <v>66</v>
      </c>
      <c r="G14" t="s">
        <v>149</v>
      </c>
      <c r="H14">
        <v>100</v>
      </c>
      <c r="O14" t="s">
        <v>189</v>
      </c>
    </row>
    <row r="15" spans="1:15" x14ac:dyDescent="0.3">
      <c r="A15" t="s">
        <v>203</v>
      </c>
      <c r="B15" t="s">
        <v>143</v>
      </c>
      <c r="D15" t="s">
        <v>190</v>
      </c>
      <c r="M15">
        <v>1</v>
      </c>
    </row>
    <row r="16" spans="1:15" x14ac:dyDescent="0.3">
      <c r="A16" t="s">
        <v>204</v>
      </c>
      <c r="B16" t="s">
        <v>134</v>
      </c>
      <c r="D16" t="s">
        <v>66</v>
      </c>
      <c r="G16" t="s">
        <v>149</v>
      </c>
      <c r="H16">
        <v>100</v>
      </c>
      <c r="O16" t="s">
        <v>189</v>
      </c>
    </row>
    <row r="17" spans="1:15" x14ac:dyDescent="0.3">
      <c r="A17" t="s">
        <v>205</v>
      </c>
      <c r="B17" t="s">
        <v>143</v>
      </c>
      <c r="D17" t="s">
        <v>190</v>
      </c>
      <c r="M17">
        <v>1</v>
      </c>
    </row>
    <row r="18" spans="1:15" x14ac:dyDescent="0.3">
      <c r="A18" t="s">
        <v>206</v>
      </c>
      <c r="B18" t="s">
        <v>134</v>
      </c>
      <c r="D18" t="s">
        <v>66</v>
      </c>
      <c r="G18" t="s">
        <v>149</v>
      </c>
      <c r="H18">
        <v>100</v>
      </c>
      <c r="O18" t="s">
        <v>189</v>
      </c>
    </row>
    <row r="19" spans="1:15" x14ac:dyDescent="0.3">
      <c r="A19" t="s">
        <v>207</v>
      </c>
      <c r="B19" t="s">
        <v>143</v>
      </c>
      <c r="D19" t="s">
        <v>190</v>
      </c>
      <c r="M19">
        <v>1</v>
      </c>
    </row>
    <row r="20" spans="1:15" x14ac:dyDescent="0.3">
      <c r="A20" t="s">
        <v>208</v>
      </c>
      <c r="B20" t="s">
        <v>134</v>
      </c>
      <c r="D20" t="s">
        <v>66</v>
      </c>
      <c r="G20" t="s">
        <v>149</v>
      </c>
      <c r="H20">
        <v>100</v>
      </c>
      <c r="O20" t="s">
        <v>189</v>
      </c>
    </row>
    <row r="21" spans="1:15" x14ac:dyDescent="0.3">
      <c r="A21" t="s">
        <v>209</v>
      </c>
      <c r="B21" t="s">
        <v>143</v>
      </c>
      <c r="D21" t="s">
        <v>190</v>
      </c>
      <c r="M21">
        <v>1</v>
      </c>
    </row>
    <row r="22" spans="1:15" x14ac:dyDescent="0.3">
      <c r="A22" t="s">
        <v>210</v>
      </c>
      <c r="B22" t="s">
        <v>134</v>
      </c>
      <c r="D22" t="s">
        <v>66</v>
      </c>
      <c r="G22" t="s">
        <v>149</v>
      </c>
      <c r="H22">
        <v>100</v>
      </c>
      <c r="O22" t="s">
        <v>189</v>
      </c>
    </row>
    <row r="23" spans="1:15" x14ac:dyDescent="0.3">
      <c r="A23" t="s">
        <v>211</v>
      </c>
      <c r="B23" t="s">
        <v>143</v>
      </c>
      <c r="D23" t="s">
        <v>190</v>
      </c>
      <c r="M23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DDCA-07C1-4438-8D0A-E57697F52AE6}">
  <dimension ref="A1:O33"/>
  <sheetViews>
    <sheetView workbookViewId="0">
      <selection activeCell="A2" sqref="A2:XFD2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6" max="16" width="44.19921875" bestFit="1" customWidth="1"/>
  </cols>
  <sheetData>
    <row r="1" spans="1:15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20</v>
      </c>
    </row>
    <row r="2" spans="1:15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</row>
    <row r="3" spans="1:15" x14ac:dyDescent="0.3">
      <c r="A3" t="s">
        <v>164</v>
      </c>
      <c r="B3" t="s">
        <v>143</v>
      </c>
      <c r="D3" t="s">
        <v>190</v>
      </c>
      <c r="M3">
        <v>1</v>
      </c>
    </row>
    <row r="4" spans="1:15" x14ac:dyDescent="0.3">
      <c r="A4" t="s">
        <v>192</v>
      </c>
      <c r="B4" t="s">
        <v>134</v>
      </c>
      <c r="D4" t="s">
        <v>66</v>
      </c>
      <c r="G4" t="s">
        <v>149</v>
      </c>
      <c r="H4">
        <v>100</v>
      </c>
      <c r="O4" t="s">
        <v>213</v>
      </c>
    </row>
    <row r="5" spans="1:15" x14ac:dyDescent="0.3">
      <c r="A5" t="s">
        <v>212</v>
      </c>
      <c r="B5" t="s">
        <v>134</v>
      </c>
      <c r="D5" t="s">
        <v>66</v>
      </c>
      <c r="G5" t="s">
        <v>149</v>
      </c>
      <c r="H5">
        <v>100</v>
      </c>
      <c r="O5" t="s">
        <v>60</v>
      </c>
    </row>
    <row r="6" spans="1:15" x14ac:dyDescent="0.3">
      <c r="A6" t="s">
        <v>193</v>
      </c>
      <c r="B6" t="s">
        <v>143</v>
      </c>
      <c r="D6" t="s">
        <v>190</v>
      </c>
      <c r="M6">
        <v>1</v>
      </c>
    </row>
    <row r="7" spans="1:15" x14ac:dyDescent="0.3">
      <c r="A7" t="s">
        <v>194</v>
      </c>
      <c r="B7" t="s">
        <v>134</v>
      </c>
      <c r="D7" t="s">
        <v>66</v>
      </c>
      <c r="G7" t="s">
        <v>149</v>
      </c>
      <c r="H7">
        <v>100</v>
      </c>
    </row>
    <row r="8" spans="1:15" x14ac:dyDescent="0.3">
      <c r="A8" t="s">
        <v>214</v>
      </c>
      <c r="B8" t="s">
        <v>134</v>
      </c>
      <c r="D8" t="s">
        <v>66</v>
      </c>
      <c r="G8" t="s">
        <v>149</v>
      </c>
      <c r="H8">
        <v>100</v>
      </c>
      <c r="O8" t="s">
        <v>60</v>
      </c>
    </row>
    <row r="9" spans="1:15" x14ac:dyDescent="0.3">
      <c r="A9" t="s">
        <v>195</v>
      </c>
      <c r="B9" t="s">
        <v>143</v>
      </c>
      <c r="D9" t="s">
        <v>190</v>
      </c>
      <c r="M9">
        <v>1</v>
      </c>
    </row>
    <row r="10" spans="1:15" x14ac:dyDescent="0.3">
      <c r="A10" t="s">
        <v>196</v>
      </c>
      <c r="B10" t="s">
        <v>134</v>
      </c>
      <c r="D10" t="s">
        <v>66</v>
      </c>
      <c r="G10" t="s">
        <v>149</v>
      </c>
      <c r="H10">
        <v>100</v>
      </c>
    </row>
    <row r="11" spans="1:15" x14ac:dyDescent="0.3">
      <c r="A11" t="s">
        <v>215</v>
      </c>
      <c r="B11" t="s">
        <v>134</v>
      </c>
      <c r="D11" t="s">
        <v>66</v>
      </c>
      <c r="G11" t="s">
        <v>149</v>
      </c>
      <c r="H11">
        <v>100</v>
      </c>
      <c r="O11" t="s">
        <v>60</v>
      </c>
    </row>
    <row r="12" spans="1:15" x14ac:dyDescent="0.3">
      <c r="A12" t="s">
        <v>197</v>
      </c>
      <c r="B12" t="s">
        <v>143</v>
      </c>
      <c r="D12" t="s">
        <v>190</v>
      </c>
      <c r="M12">
        <v>1</v>
      </c>
    </row>
    <row r="13" spans="1:15" x14ac:dyDescent="0.3">
      <c r="A13" t="s">
        <v>198</v>
      </c>
      <c r="B13" t="s">
        <v>134</v>
      </c>
      <c r="D13" t="s">
        <v>66</v>
      </c>
      <c r="G13" t="s">
        <v>149</v>
      </c>
      <c r="H13">
        <v>100</v>
      </c>
    </row>
    <row r="14" spans="1:15" x14ac:dyDescent="0.3">
      <c r="A14" t="s">
        <v>216</v>
      </c>
      <c r="B14" t="s">
        <v>134</v>
      </c>
      <c r="D14" t="s">
        <v>66</v>
      </c>
      <c r="G14" t="s">
        <v>149</v>
      </c>
      <c r="H14">
        <v>100</v>
      </c>
      <c r="O14" t="s">
        <v>60</v>
      </c>
    </row>
    <row r="15" spans="1:15" x14ac:dyDescent="0.3">
      <c r="A15" t="s">
        <v>199</v>
      </c>
      <c r="B15" t="s">
        <v>143</v>
      </c>
      <c r="D15" t="s">
        <v>190</v>
      </c>
      <c r="M15">
        <v>1</v>
      </c>
    </row>
    <row r="16" spans="1:15" x14ac:dyDescent="0.3">
      <c r="A16" t="s">
        <v>200</v>
      </c>
      <c r="B16" t="s">
        <v>134</v>
      </c>
      <c r="D16" t="s">
        <v>66</v>
      </c>
      <c r="G16" t="s">
        <v>149</v>
      </c>
      <c r="H16">
        <v>100</v>
      </c>
    </row>
    <row r="17" spans="1:15" x14ac:dyDescent="0.3">
      <c r="A17" t="s">
        <v>217</v>
      </c>
      <c r="B17" t="s">
        <v>134</v>
      </c>
      <c r="D17" t="s">
        <v>66</v>
      </c>
      <c r="G17" t="s">
        <v>149</v>
      </c>
      <c r="H17">
        <v>100</v>
      </c>
      <c r="O17" t="s">
        <v>60</v>
      </c>
    </row>
    <row r="18" spans="1:15" x14ac:dyDescent="0.3">
      <c r="A18" t="s">
        <v>201</v>
      </c>
      <c r="B18" t="s">
        <v>143</v>
      </c>
      <c r="D18" t="s">
        <v>190</v>
      </c>
      <c r="M18">
        <v>1</v>
      </c>
    </row>
    <row r="19" spans="1:15" x14ac:dyDescent="0.3">
      <c r="A19" t="s">
        <v>202</v>
      </c>
      <c r="B19" t="s">
        <v>134</v>
      </c>
      <c r="D19" t="s">
        <v>66</v>
      </c>
      <c r="G19" t="s">
        <v>149</v>
      </c>
      <c r="H19">
        <v>100</v>
      </c>
    </row>
    <row r="20" spans="1:15" x14ac:dyDescent="0.3">
      <c r="A20" t="s">
        <v>218</v>
      </c>
      <c r="B20" t="s">
        <v>134</v>
      </c>
      <c r="D20" t="s">
        <v>66</v>
      </c>
      <c r="G20" t="s">
        <v>149</v>
      </c>
      <c r="H20">
        <v>100</v>
      </c>
      <c r="O20" t="s">
        <v>60</v>
      </c>
    </row>
    <row r="21" spans="1:15" x14ac:dyDescent="0.3">
      <c r="A21" t="s">
        <v>203</v>
      </c>
      <c r="B21" t="s">
        <v>143</v>
      </c>
      <c r="D21" t="s">
        <v>190</v>
      </c>
      <c r="M21">
        <v>1</v>
      </c>
    </row>
    <row r="22" spans="1:15" x14ac:dyDescent="0.3">
      <c r="A22" t="s">
        <v>204</v>
      </c>
      <c r="B22" t="s">
        <v>134</v>
      </c>
      <c r="D22" t="s">
        <v>66</v>
      </c>
      <c r="G22" t="s">
        <v>149</v>
      </c>
      <c r="H22">
        <v>100</v>
      </c>
    </row>
    <row r="23" spans="1:15" x14ac:dyDescent="0.3">
      <c r="A23" t="s">
        <v>219</v>
      </c>
      <c r="B23" t="s">
        <v>134</v>
      </c>
      <c r="D23" t="s">
        <v>66</v>
      </c>
      <c r="G23" t="s">
        <v>149</v>
      </c>
      <c r="H23">
        <v>100</v>
      </c>
      <c r="O23" t="s">
        <v>60</v>
      </c>
    </row>
    <row r="24" spans="1:15" x14ac:dyDescent="0.3">
      <c r="A24" t="s">
        <v>205</v>
      </c>
      <c r="B24" t="s">
        <v>143</v>
      </c>
      <c r="D24" t="s">
        <v>190</v>
      </c>
      <c r="M24">
        <v>1</v>
      </c>
    </row>
    <row r="25" spans="1:15" x14ac:dyDescent="0.3">
      <c r="A25" t="s">
        <v>206</v>
      </c>
      <c r="B25" t="s">
        <v>134</v>
      </c>
      <c r="D25" t="s">
        <v>66</v>
      </c>
      <c r="G25" t="s">
        <v>149</v>
      </c>
      <c r="H25">
        <v>100</v>
      </c>
    </row>
    <row r="26" spans="1:15" x14ac:dyDescent="0.3">
      <c r="A26" t="s">
        <v>220</v>
      </c>
      <c r="B26" t="s">
        <v>134</v>
      </c>
      <c r="D26" t="s">
        <v>66</v>
      </c>
      <c r="G26" t="s">
        <v>149</v>
      </c>
      <c r="H26">
        <v>100</v>
      </c>
      <c r="O26" t="s">
        <v>60</v>
      </c>
    </row>
    <row r="27" spans="1:15" x14ac:dyDescent="0.3">
      <c r="A27" t="s">
        <v>207</v>
      </c>
      <c r="B27" t="s">
        <v>143</v>
      </c>
      <c r="D27" t="s">
        <v>190</v>
      </c>
      <c r="M27">
        <v>1</v>
      </c>
    </row>
    <row r="28" spans="1:15" x14ac:dyDescent="0.3">
      <c r="A28" t="s">
        <v>208</v>
      </c>
      <c r="B28" t="s">
        <v>134</v>
      </c>
      <c r="D28" t="s">
        <v>66</v>
      </c>
      <c r="G28" t="s">
        <v>149</v>
      </c>
      <c r="H28">
        <v>100</v>
      </c>
    </row>
    <row r="29" spans="1:15" x14ac:dyDescent="0.3">
      <c r="A29" t="s">
        <v>221</v>
      </c>
      <c r="B29" t="s">
        <v>134</v>
      </c>
      <c r="D29" t="s">
        <v>66</v>
      </c>
      <c r="G29" t="s">
        <v>149</v>
      </c>
      <c r="H29">
        <v>100</v>
      </c>
      <c r="O29" t="s">
        <v>60</v>
      </c>
    </row>
    <row r="30" spans="1:15" x14ac:dyDescent="0.3">
      <c r="A30" t="s">
        <v>209</v>
      </c>
      <c r="B30" t="s">
        <v>143</v>
      </c>
      <c r="D30" t="s">
        <v>190</v>
      </c>
      <c r="M30">
        <v>1</v>
      </c>
    </row>
    <row r="31" spans="1:15" x14ac:dyDescent="0.3">
      <c r="A31" t="s">
        <v>210</v>
      </c>
      <c r="B31" t="s">
        <v>134</v>
      </c>
      <c r="D31" t="s">
        <v>66</v>
      </c>
      <c r="G31" t="s">
        <v>149</v>
      </c>
      <c r="H31">
        <v>100</v>
      </c>
    </row>
    <row r="32" spans="1:15" x14ac:dyDescent="0.3">
      <c r="A32" t="s">
        <v>222</v>
      </c>
      <c r="B32" t="s">
        <v>134</v>
      </c>
      <c r="D32" t="s">
        <v>66</v>
      </c>
      <c r="G32" t="s">
        <v>149</v>
      </c>
      <c r="H32">
        <v>100</v>
      </c>
      <c r="O32" t="s">
        <v>60</v>
      </c>
    </row>
    <row r="33" spans="1:13" x14ac:dyDescent="0.3">
      <c r="A33" t="s">
        <v>211</v>
      </c>
      <c r="B33" t="s">
        <v>143</v>
      </c>
      <c r="D33" t="s">
        <v>190</v>
      </c>
      <c r="M33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7345-10E4-7E48-B78D-1D294B235E80}">
  <dimension ref="A1:P51"/>
  <sheetViews>
    <sheetView tabSelected="1" workbookViewId="0">
      <selection activeCell="D11" sqref="D11"/>
    </sheetView>
  </sheetViews>
  <sheetFormatPr defaultColWidth="11.19921875" defaultRowHeight="15.6" x14ac:dyDescent="0.3"/>
  <cols>
    <col min="1" max="1" width="21.296875" customWidth="1"/>
    <col min="2" max="2" width="11.69921875" customWidth="1"/>
    <col min="3" max="3" width="15.296875" customWidth="1"/>
    <col min="4" max="4" width="32.69921875" bestFit="1" customWidth="1"/>
    <col min="5" max="5" width="7.19921875" bestFit="1" customWidth="1"/>
    <col min="6" max="6" width="11.296875" bestFit="1" customWidth="1"/>
    <col min="7" max="7" width="8.69921875" bestFit="1" customWidth="1"/>
    <col min="8" max="8" width="10.69921875" bestFit="1" customWidth="1"/>
    <col min="9" max="9" width="5.59765625" bestFit="1" customWidth="1"/>
    <col min="10" max="10" width="7.19921875" bestFit="1" customWidth="1"/>
    <col min="11" max="11" width="8.796875" customWidth="1"/>
    <col min="12" max="12" width="7.19921875" bestFit="1" customWidth="1"/>
    <col min="13" max="13" width="6.8984375" bestFit="1" customWidth="1"/>
    <col min="14" max="14" width="12.59765625" bestFit="1" customWidth="1"/>
    <col min="15" max="15" width="74" bestFit="1" customWidth="1"/>
    <col min="16" max="16" width="10.5" customWidth="1"/>
  </cols>
  <sheetData>
    <row r="1" spans="1:15" x14ac:dyDescent="0.3">
      <c r="A1" s="1" t="s">
        <v>1</v>
      </c>
      <c r="B1" s="1" t="s">
        <v>0</v>
      </c>
      <c r="C1" s="1" t="s">
        <v>145</v>
      </c>
      <c r="D1" s="1" t="s">
        <v>64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20</v>
      </c>
    </row>
    <row r="2" spans="1:15" x14ac:dyDescent="0.3">
      <c r="A2" t="s">
        <v>166</v>
      </c>
      <c r="B2" t="s">
        <v>167</v>
      </c>
      <c r="D2" t="s">
        <v>168</v>
      </c>
      <c r="E2" t="s">
        <v>149</v>
      </c>
      <c r="F2" t="s">
        <v>149</v>
      </c>
    </row>
    <row r="3" spans="1:15" x14ac:dyDescent="0.3">
      <c r="A3" t="s">
        <v>4</v>
      </c>
      <c r="B3" t="s">
        <v>134</v>
      </c>
      <c r="D3" t="s">
        <v>66</v>
      </c>
      <c r="E3" t="s">
        <v>149</v>
      </c>
      <c r="F3" t="s">
        <v>149</v>
      </c>
      <c r="G3" t="s">
        <v>149</v>
      </c>
      <c r="H3">
        <v>100</v>
      </c>
      <c r="O3" t="s">
        <v>23</v>
      </c>
    </row>
    <row r="4" spans="1:15" x14ac:dyDescent="0.3">
      <c r="A4" t="s">
        <v>5</v>
      </c>
      <c r="B4" t="s">
        <v>134</v>
      </c>
      <c r="D4" t="s">
        <v>65</v>
      </c>
      <c r="E4" t="s">
        <v>149</v>
      </c>
      <c r="G4" t="s">
        <v>149</v>
      </c>
      <c r="H4">
        <v>100</v>
      </c>
      <c r="I4" t="s">
        <v>149</v>
      </c>
      <c r="J4" t="s">
        <v>149</v>
      </c>
      <c r="O4" t="s">
        <v>21</v>
      </c>
    </row>
    <row r="5" spans="1:15" x14ac:dyDescent="0.3">
      <c r="A5" t="s">
        <v>3</v>
      </c>
      <c r="B5" t="s">
        <v>135</v>
      </c>
      <c r="D5" t="s">
        <v>67</v>
      </c>
      <c r="I5" t="s">
        <v>149</v>
      </c>
      <c r="J5" t="s">
        <v>149</v>
      </c>
      <c r="O5" t="s">
        <v>22</v>
      </c>
    </row>
    <row r="6" spans="1:15" x14ac:dyDescent="0.3">
      <c r="A6" t="s">
        <v>42</v>
      </c>
      <c r="B6" t="s">
        <v>136</v>
      </c>
      <c r="C6" t="s">
        <v>42</v>
      </c>
      <c r="D6" t="s">
        <v>68</v>
      </c>
      <c r="I6" t="s">
        <v>149</v>
      </c>
      <c r="J6" t="s">
        <v>149</v>
      </c>
      <c r="K6" t="s">
        <v>146</v>
      </c>
      <c r="O6" t="s">
        <v>69</v>
      </c>
    </row>
    <row r="7" spans="1:15" x14ac:dyDescent="0.3">
      <c r="A7" t="s">
        <v>6</v>
      </c>
      <c r="B7" t="s">
        <v>139</v>
      </c>
      <c r="D7" t="s">
        <v>70</v>
      </c>
      <c r="G7" t="s">
        <v>149</v>
      </c>
      <c r="I7" t="s">
        <v>149</v>
      </c>
      <c r="J7" t="s">
        <v>149</v>
      </c>
      <c r="O7">
        <v>83.46</v>
      </c>
    </row>
    <row r="8" spans="1:15" x14ac:dyDescent="0.3">
      <c r="A8" t="s">
        <v>7</v>
      </c>
      <c r="B8" t="s">
        <v>139</v>
      </c>
      <c r="D8" t="s">
        <v>71</v>
      </c>
      <c r="G8" t="s">
        <v>149</v>
      </c>
      <c r="I8" t="s">
        <v>149</v>
      </c>
      <c r="J8" t="s">
        <v>149</v>
      </c>
      <c r="O8">
        <f>O7*1.2</f>
        <v>100.15199999999999</v>
      </c>
    </row>
    <row r="9" spans="1:15" x14ac:dyDescent="0.3">
      <c r="A9" t="s">
        <v>80</v>
      </c>
      <c r="B9" t="s">
        <v>139</v>
      </c>
      <c r="D9" t="s">
        <v>78</v>
      </c>
      <c r="G9" t="s">
        <v>149</v>
      </c>
      <c r="I9" t="s">
        <v>149</v>
      </c>
      <c r="J9" t="s">
        <v>149</v>
      </c>
      <c r="O9">
        <f>O7*4</f>
        <v>333.84</v>
      </c>
    </row>
    <row r="10" spans="1:15" x14ac:dyDescent="0.3">
      <c r="A10" t="s">
        <v>81</v>
      </c>
      <c r="B10" t="s">
        <v>139</v>
      </c>
      <c r="D10" t="s">
        <v>79</v>
      </c>
      <c r="G10" t="s">
        <v>149</v>
      </c>
      <c r="I10" t="s">
        <v>149</v>
      </c>
      <c r="J10" t="s">
        <v>149</v>
      </c>
      <c r="O10">
        <f>O9*1.2</f>
        <v>400.60799999999995</v>
      </c>
    </row>
    <row r="11" spans="1:15" x14ac:dyDescent="0.3">
      <c r="A11" t="s">
        <v>24</v>
      </c>
      <c r="B11" t="s">
        <v>139</v>
      </c>
      <c r="D11" t="s">
        <v>72</v>
      </c>
      <c r="I11" t="s">
        <v>149</v>
      </c>
      <c r="J11" t="s">
        <v>149</v>
      </c>
      <c r="O11">
        <v>10</v>
      </c>
    </row>
    <row r="12" spans="1:15" x14ac:dyDescent="0.3">
      <c r="A12" t="s">
        <v>25</v>
      </c>
      <c r="B12" t="s">
        <v>139</v>
      </c>
      <c r="D12" t="s">
        <v>73</v>
      </c>
      <c r="I12" t="s">
        <v>149</v>
      </c>
      <c r="J12" t="s">
        <v>149</v>
      </c>
      <c r="O12">
        <v>30</v>
      </c>
    </row>
    <row r="13" spans="1:15" x14ac:dyDescent="0.3">
      <c r="A13" t="s">
        <v>26</v>
      </c>
      <c r="B13" t="s">
        <v>139</v>
      </c>
      <c r="D13" t="s">
        <v>74</v>
      </c>
      <c r="I13" t="s">
        <v>149</v>
      </c>
      <c r="J13" t="s">
        <v>149</v>
      </c>
      <c r="O13">
        <v>4</v>
      </c>
    </row>
    <row r="14" spans="1:15" x14ac:dyDescent="0.3">
      <c r="A14" t="s">
        <v>27</v>
      </c>
      <c r="B14" t="s">
        <v>139</v>
      </c>
      <c r="D14" t="s">
        <v>75</v>
      </c>
      <c r="I14" t="s">
        <v>149</v>
      </c>
      <c r="J14" t="s">
        <v>149</v>
      </c>
      <c r="O14">
        <v>3.5</v>
      </c>
    </row>
    <row r="15" spans="1:15" x14ac:dyDescent="0.3">
      <c r="A15" t="s">
        <v>82</v>
      </c>
      <c r="B15" t="s">
        <v>139</v>
      </c>
      <c r="D15" t="s">
        <v>83</v>
      </c>
      <c r="G15" t="s">
        <v>149</v>
      </c>
      <c r="I15" t="s">
        <v>149</v>
      </c>
      <c r="J15" t="s">
        <v>149</v>
      </c>
    </row>
    <row r="16" spans="1:15" x14ac:dyDescent="0.3">
      <c r="A16" t="s">
        <v>76</v>
      </c>
      <c r="B16" t="s">
        <v>139</v>
      </c>
      <c r="D16" t="s">
        <v>84</v>
      </c>
      <c r="G16" t="s">
        <v>149</v>
      </c>
      <c r="I16" t="s">
        <v>149</v>
      </c>
      <c r="J16" t="s">
        <v>149</v>
      </c>
    </row>
    <row r="17" spans="1:15" x14ac:dyDescent="0.3">
      <c r="A17" t="s">
        <v>77</v>
      </c>
      <c r="B17" t="s">
        <v>139</v>
      </c>
      <c r="D17" t="s">
        <v>85</v>
      </c>
      <c r="G17" t="s">
        <v>149</v>
      </c>
      <c r="I17" t="s">
        <v>149</v>
      </c>
      <c r="J17" t="s">
        <v>149</v>
      </c>
    </row>
    <row r="18" spans="1:15" x14ac:dyDescent="0.3">
      <c r="A18" t="s">
        <v>8</v>
      </c>
      <c r="B18" t="s">
        <v>136</v>
      </c>
      <c r="C18" t="s">
        <v>162</v>
      </c>
      <c r="D18" t="s">
        <v>38</v>
      </c>
      <c r="G18" t="s">
        <v>149</v>
      </c>
      <c r="I18" t="s">
        <v>149</v>
      </c>
      <c r="J18" t="s">
        <v>149</v>
      </c>
      <c r="K18" t="s">
        <v>146</v>
      </c>
      <c r="N18" t="s">
        <v>148</v>
      </c>
      <c r="O18" t="s">
        <v>28</v>
      </c>
    </row>
    <row r="19" spans="1:15" x14ac:dyDescent="0.3">
      <c r="A19" t="s">
        <v>9</v>
      </c>
      <c r="B19" t="s">
        <v>136</v>
      </c>
      <c r="C19" t="s">
        <v>162</v>
      </c>
      <c r="D19" t="s">
        <v>86</v>
      </c>
      <c r="G19" t="s">
        <v>149</v>
      </c>
      <c r="I19" t="s">
        <v>149</v>
      </c>
      <c r="J19" t="s">
        <v>149</v>
      </c>
      <c r="K19" t="s">
        <v>146</v>
      </c>
      <c r="N19" t="s">
        <v>148</v>
      </c>
      <c r="O19" t="s">
        <v>28</v>
      </c>
    </row>
    <row r="20" spans="1:15" x14ac:dyDescent="0.3">
      <c r="A20" t="s">
        <v>223</v>
      </c>
      <c r="B20" t="s">
        <v>136</v>
      </c>
      <c r="C20" t="s">
        <v>12</v>
      </c>
      <c r="D20" t="s">
        <v>87</v>
      </c>
      <c r="I20" t="s">
        <v>149</v>
      </c>
      <c r="J20" t="s">
        <v>149</v>
      </c>
      <c r="K20" t="s">
        <v>146</v>
      </c>
      <c r="N20" t="s">
        <v>148</v>
      </c>
      <c r="O20" t="s">
        <v>120</v>
      </c>
    </row>
    <row r="21" spans="1:15" x14ac:dyDescent="0.3">
      <c r="A21" t="s">
        <v>13</v>
      </c>
      <c r="B21" t="s">
        <v>136</v>
      </c>
      <c r="C21" t="s">
        <v>12</v>
      </c>
      <c r="D21" t="s">
        <v>88</v>
      </c>
      <c r="G21" t="s">
        <v>149</v>
      </c>
      <c r="I21" t="s">
        <v>149</v>
      </c>
      <c r="J21" t="s">
        <v>149</v>
      </c>
      <c r="K21" t="s">
        <v>146</v>
      </c>
      <c r="N21" t="s">
        <v>148</v>
      </c>
      <c r="O21" t="s">
        <v>121</v>
      </c>
    </row>
    <row r="22" spans="1:15" x14ac:dyDescent="0.3">
      <c r="A22" t="s">
        <v>14</v>
      </c>
      <c r="B22" t="s">
        <v>136</v>
      </c>
      <c r="C22" t="s">
        <v>12</v>
      </c>
      <c r="D22" t="s">
        <v>89</v>
      </c>
      <c r="G22" t="s">
        <v>149</v>
      </c>
      <c r="I22" t="s">
        <v>149</v>
      </c>
      <c r="J22" t="s">
        <v>149</v>
      </c>
      <c r="K22" t="s">
        <v>146</v>
      </c>
      <c r="N22" t="s">
        <v>148</v>
      </c>
      <c r="O22" t="s">
        <v>122</v>
      </c>
    </row>
    <row r="23" spans="1:15" x14ac:dyDescent="0.3">
      <c r="A23" t="s">
        <v>16</v>
      </c>
      <c r="B23" t="s">
        <v>136</v>
      </c>
      <c r="C23" t="s">
        <v>12</v>
      </c>
      <c r="D23" t="s">
        <v>90</v>
      </c>
      <c r="G23" t="s">
        <v>149</v>
      </c>
      <c r="I23" t="s">
        <v>149</v>
      </c>
      <c r="J23" t="s">
        <v>149</v>
      </c>
      <c r="K23" t="s">
        <v>146</v>
      </c>
      <c r="N23" t="s">
        <v>148</v>
      </c>
      <c r="O23" t="s">
        <v>123</v>
      </c>
    </row>
    <row r="24" spans="1:15" x14ac:dyDescent="0.3">
      <c r="A24" t="s">
        <v>224</v>
      </c>
      <c r="B24" t="s">
        <v>136</v>
      </c>
      <c r="C24" t="s">
        <v>45</v>
      </c>
      <c r="D24" t="s">
        <v>91</v>
      </c>
      <c r="G24" t="s">
        <v>149</v>
      </c>
      <c r="I24" t="s">
        <v>149</v>
      </c>
      <c r="J24" t="s">
        <v>149</v>
      </c>
      <c r="K24" t="s">
        <v>146</v>
      </c>
      <c r="N24" t="s">
        <v>148</v>
      </c>
      <c r="O24" t="s">
        <v>30</v>
      </c>
    </row>
    <row r="25" spans="1:15" x14ac:dyDescent="0.3">
      <c r="A25" t="s">
        <v>46</v>
      </c>
      <c r="B25" t="s">
        <v>136</v>
      </c>
      <c r="C25" t="s">
        <v>45</v>
      </c>
      <c r="D25" t="s">
        <v>92</v>
      </c>
      <c r="G25" t="s">
        <v>149</v>
      </c>
      <c r="I25" t="s">
        <v>149</v>
      </c>
      <c r="J25" t="s">
        <v>149</v>
      </c>
      <c r="K25" t="s">
        <v>146</v>
      </c>
      <c r="N25" t="s">
        <v>148</v>
      </c>
    </row>
    <row r="26" spans="1:15" x14ac:dyDescent="0.3">
      <c r="A26" t="s">
        <v>11</v>
      </c>
      <c r="B26" t="s">
        <v>140</v>
      </c>
      <c r="D26" t="s">
        <v>93</v>
      </c>
      <c r="I26" t="s">
        <v>149</v>
      </c>
      <c r="J26" t="s">
        <v>149</v>
      </c>
      <c r="O26">
        <v>8</v>
      </c>
    </row>
    <row r="27" spans="1:15" x14ac:dyDescent="0.3">
      <c r="A27" t="s">
        <v>138</v>
      </c>
      <c r="B27" t="s">
        <v>141</v>
      </c>
      <c r="D27" t="s">
        <v>137</v>
      </c>
      <c r="I27" t="s">
        <v>149</v>
      </c>
      <c r="J27" t="s">
        <v>149</v>
      </c>
    </row>
    <row r="28" spans="1:15" x14ac:dyDescent="0.3">
      <c r="A28" t="s">
        <v>15</v>
      </c>
      <c r="B28" t="s">
        <v>142</v>
      </c>
      <c r="D28" t="s">
        <v>94</v>
      </c>
      <c r="I28" t="s">
        <v>149</v>
      </c>
      <c r="J28" t="s">
        <v>149</v>
      </c>
    </row>
    <row r="29" spans="1:15" x14ac:dyDescent="0.3">
      <c r="A29" t="s">
        <v>17</v>
      </c>
      <c r="B29" t="s">
        <v>141</v>
      </c>
      <c r="D29" t="s">
        <v>95</v>
      </c>
      <c r="I29" t="s">
        <v>149</v>
      </c>
      <c r="J29" t="s">
        <v>149</v>
      </c>
    </row>
    <row r="30" spans="1:15" x14ac:dyDescent="0.3">
      <c r="A30" t="s">
        <v>96</v>
      </c>
      <c r="B30" t="s">
        <v>141</v>
      </c>
      <c r="D30" t="s">
        <v>96</v>
      </c>
      <c r="I30" t="s">
        <v>149</v>
      </c>
      <c r="J30" t="s">
        <v>149</v>
      </c>
    </row>
    <row r="31" spans="1:15" x14ac:dyDescent="0.3">
      <c r="A31" t="s">
        <v>18</v>
      </c>
      <c r="B31" t="s">
        <v>139</v>
      </c>
      <c r="D31" t="s">
        <v>97</v>
      </c>
      <c r="I31" t="s">
        <v>149</v>
      </c>
      <c r="J31" t="s">
        <v>149</v>
      </c>
    </row>
    <row r="32" spans="1:15" x14ac:dyDescent="0.3">
      <c r="A32" t="s">
        <v>19</v>
      </c>
      <c r="B32" t="s">
        <v>139</v>
      </c>
      <c r="D32" t="s">
        <v>98</v>
      </c>
      <c r="I32" t="s">
        <v>149</v>
      </c>
      <c r="J32" t="s">
        <v>149</v>
      </c>
      <c r="O32">
        <v>10</v>
      </c>
    </row>
    <row r="33" spans="1:15" x14ac:dyDescent="0.3">
      <c r="A33" t="s">
        <v>31</v>
      </c>
      <c r="B33" t="s">
        <v>139</v>
      </c>
      <c r="D33" t="s">
        <v>99</v>
      </c>
      <c r="I33" t="s">
        <v>149</v>
      </c>
      <c r="J33" t="s">
        <v>149</v>
      </c>
      <c r="O33">
        <v>12</v>
      </c>
    </row>
    <row r="34" spans="1:15" x14ac:dyDescent="0.3">
      <c r="A34" t="s">
        <v>47</v>
      </c>
      <c r="B34" t="s">
        <v>143</v>
      </c>
      <c r="D34" t="s">
        <v>100</v>
      </c>
      <c r="I34" t="s">
        <v>149</v>
      </c>
      <c r="J34" t="s">
        <v>149</v>
      </c>
      <c r="O34">
        <v>8</v>
      </c>
    </row>
    <row r="35" spans="1:15" x14ac:dyDescent="0.3">
      <c r="A35" t="s">
        <v>48</v>
      </c>
      <c r="B35" t="s">
        <v>143</v>
      </c>
      <c r="D35" t="s">
        <v>101</v>
      </c>
      <c r="I35" t="s">
        <v>149</v>
      </c>
      <c r="J35" t="s">
        <v>149</v>
      </c>
      <c r="O35">
        <v>4</v>
      </c>
    </row>
    <row r="36" spans="1:15" x14ac:dyDescent="0.3">
      <c r="A36" t="s">
        <v>49</v>
      </c>
      <c r="B36" t="s">
        <v>143</v>
      </c>
      <c r="D36" t="s">
        <v>102</v>
      </c>
      <c r="I36" t="s">
        <v>149</v>
      </c>
      <c r="J36" t="s">
        <v>149</v>
      </c>
      <c r="O36">
        <v>4</v>
      </c>
    </row>
    <row r="37" spans="1:15" x14ac:dyDescent="0.3">
      <c r="A37" t="s">
        <v>50</v>
      </c>
      <c r="B37" t="s">
        <v>143</v>
      </c>
      <c r="D37" t="s">
        <v>103</v>
      </c>
      <c r="I37" t="s">
        <v>149</v>
      </c>
      <c r="J37" t="s">
        <v>149</v>
      </c>
      <c r="O37">
        <v>4</v>
      </c>
    </row>
    <row r="38" spans="1:15" x14ac:dyDescent="0.3">
      <c r="A38" t="s">
        <v>51</v>
      </c>
      <c r="B38" t="s">
        <v>143</v>
      </c>
      <c r="D38" t="s">
        <v>104</v>
      </c>
      <c r="I38" t="s">
        <v>149</v>
      </c>
      <c r="J38" t="s">
        <v>149</v>
      </c>
    </row>
    <row r="39" spans="1:15" x14ac:dyDescent="0.3">
      <c r="A39" t="s">
        <v>52</v>
      </c>
      <c r="B39" t="s">
        <v>143</v>
      </c>
      <c r="D39" t="s">
        <v>105</v>
      </c>
      <c r="I39" t="s">
        <v>149</v>
      </c>
      <c r="J39" t="s">
        <v>149</v>
      </c>
    </row>
    <row r="40" spans="1:15" x14ac:dyDescent="0.3">
      <c r="A40" t="s">
        <v>53</v>
      </c>
      <c r="B40" t="s">
        <v>143</v>
      </c>
      <c r="D40" t="s">
        <v>106</v>
      </c>
      <c r="I40" t="s">
        <v>149</v>
      </c>
      <c r="J40" t="s">
        <v>149</v>
      </c>
    </row>
    <row r="41" spans="1:15" x14ac:dyDescent="0.3">
      <c r="A41" t="s">
        <v>54</v>
      </c>
      <c r="B41" t="s">
        <v>136</v>
      </c>
      <c r="C41" t="s">
        <v>163</v>
      </c>
      <c r="D41" t="s">
        <v>107</v>
      </c>
      <c r="G41" t="s">
        <v>149</v>
      </c>
      <c r="I41" t="s">
        <v>149</v>
      </c>
      <c r="J41" t="s">
        <v>149</v>
      </c>
      <c r="K41" t="s">
        <v>146</v>
      </c>
      <c r="O41" t="s">
        <v>44</v>
      </c>
    </row>
    <row r="42" spans="1:15" x14ac:dyDescent="0.3">
      <c r="A42" t="s">
        <v>43</v>
      </c>
      <c r="B42" t="s">
        <v>144</v>
      </c>
      <c r="D42" t="s">
        <v>108</v>
      </c>
      <c r="I42" t="s">
        <v>149</v>
      </c>
      <c r="J42" t="s">
        <v>149</v>
      </c>
      <c r="M42" t="s">
        <v>147</v>
      </c>
    </row>
    <row r="43" spans="1:15" x14ac:dyDescent="0.3">
      <c r="A43" t="s">
        <v>55</v>
      </c>
      <c r="B43" t="s">
        <v>139</v>
      </c>
      <c r="D43" t="s">
        <v>109</v>
      </c>
      <c r="I43" t="s">
        <v>149</v>
      </c>
      <c r="J43" t="s">
        <v>149</v>
      </c>
    </row>
    <row r="44" spans="1:15" x14ac:dyDescent="0.3">
      <c r="A44" t="s">
        <v>57</v>
      </c>
      <c r="B44" t="s">
        <v>139</v>
      </c>
      <c r="D44" t="s">
        <v>110</v>
      </c>
      <c r="I44" t="s">
        <v>149</v>
      </c>
      <c r="J44" t="s">
        <v>149</v>
      </c>
    </row>
    <row r="45" spans="1:15" x14ac:dyDescent="0.3">
      <c r="A45" t="s">
        <v>56</v>
      </c>
      <c r="B45" t="s">
        <v>139</v>
      </c>
      <c r="D45" t="s">
        <v>111</v>
      </c>
      <c r="I45" t="s">
        <v>149</v>
      </c>
      <c r="J45" t="s">
        <v>149</v>
      </c>
    </row>
    <row r="46" spans="1:15" x14ac:dyDescent="0.3">
      <c r="A46" t="s">
        <v>61</v>
      </c>
      <c r="B46" t="s">
        <v>139</v>
      </c>
      <c r="D46" t="s">
        <v>112</v>
      </c>
      <c r="I46" t="s">
        <v>149</v>
      </c>
      <c r="J46" t="s">
        <v>149</v>
      </c>
    </row>
    <row r="47" spans="1:15" x14ac:dyDescent="0.3">
      <c r="A47" t="s">
        <v>62</v>
      </c>
      <c r="B47" t="s">
        <v>139</v>
      </c>
      <c r="D47" t="s">
        <v>113</v>
      </c>
      <c r="I47" t="s">
        <v>149</v>
      </c>
      <c r="J47" t="s">
        <v>149</v>
      </c>
    </row>
    <row r="48" spans="1:15" x14ac:dyDescent="0.3">
      <c r="A48" t="s">
        <v>58</v>
      </c>
      <c r="B48" t="s">
        <v>136</v>
      </c>
      <c r="C48" t="s">
        <v>58</v>
      </c>
      <c r="D48" t="s">
        <v>114</v>
      </c>
      <c r="I48" t="s">
        <v>149</v>
      </c>
      <c r="J48" t="s">
        <v>149</v>
      </c>
      <c r="K48" t="s">
        <v>146</v>
      </c>
      <c r="O48" t="s">
        <v>59</v>
      </c>
    </row>
    <row r="49" spans="1:16" x14ac:dyDescent="0.3">
      <c r="A49" t="s">
        <v>63</v>
      </c>
      <c r="B49" t="s">
        <v>143</v>
      </c>
      <c r="D49" t="s">
        <v>115</v>
      </c>
      <c r="I49" t="s">
        <v>149</v>
      </c>
      <c r="J49" t="s">
        <v>149</v>
      </c>
      <c r="P49" t="s">
        <v>116</v>
      </c>
    </row>
    <row r="50" spans="1:16" x14ac:dyDescent="0.3">
      <c r="A50" t="s">
        <v>117</v>
      </c>
      <c r="B50" t="s">
        <v>139</v>
      </c>
      <c r="D50" t="s">
        <v>118</v>
      </c>
      <c r="G50" t="s">
        <v>149</v>
      </c>
      <c r="I50" t="s">
        <v>149</v>
      </c>
      <c r="J50" t="s">
        <v>149</v>
      </c>
    </row>
    <row r="51" spans="1:16" x14ac:dyDescent="0.3">
      <c r="A51" t="s">
        <v>119</v>
      </c>
      <c r="B51" t="s">
        <v>144</v>
      </c>
      <c r="D51" t="s">
        <v>191</v>
      </c>
      <c r="I51" t="s">
        <v>149</v>
      </c>
      <c r="J51" t="s">
        <v>149</v>
      </c>
      <c r="M51" t="s">
        <v>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unit</vt:lpstr>
      <vt:lpstr>contact</vt:lpstr>
      <vt:lpstr>country</vt:lpstr>
      <vt:lpstr>comp_type</vt:lpstr>
      <vt:lpstr>company</vt:lpstr>
      <vt:lpstr>category</vt:lpstr>
      <vt:lpstr>family</vt:lpstr>
      <vt:lpstr>interface</vt:lpstr>
      <vt:lpstr>control_interface</vt:lpstr>
      <vt:lpstr>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Dmitry</cp:lastModifiedBy>
  <dcterms:created xsi:type="dcterms:W3CDTF">2019-04-03T05:36:35Z</dcterms:created>
  <dcterms:modified xsi:type="dcterms:W3CDTF">2019-06-02T17:56:15Z</dcterms:modified>
</cp:coreProperties>
</file>